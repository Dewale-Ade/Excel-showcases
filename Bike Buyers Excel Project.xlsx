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daile\Documents\Data Analysis Portfolio Project\Bike_buyers Excel Project\"/>
    </mc:Choice>
  </mc:AlternateContent>
  <xr:revisionPtr revIDLastSave="0" documentId="13_ncr:1_{0EDD9369-AA66-4538-8240-CB31CF455B50}" xr6:coauthVersionLast="47" xr6:coauthVersionMax="47" xr10:uidLastSave="{00000000-0000-0000-0000-000000000000}"/>
  <bookViews>
    <workbookView xWindow="12465" yWindow="2325" windowWidth="13410" windowHeight="11505" firstSheet="1" activeTab="4" xr2:uid="{00000000-000D-0000-FFFF-FFFF00000000}"/>
  </bookViews>
  <sheets>
    <sheet name="bike_buyers_raw" sheetId="1" r:id="rId1"/>
    <sheet name="My sheet" sheetId="4" r:id="rId2"/>
    <sheet name="Pivots" sheetId="3" r:id="rId3"/>
    <sheet name="Dashboard" sheetId="2" r:id="rId4"/>
    <sheet name="notes" sheetId="5" r:id="rId5"/>
  </sheets>
  <definedNames>
    <definedName name="_xlnm._FilterDatabase" localSheetId="0" hidden="1">bike_buyers_raw!$A$1:$M$1001</definedName>
    <definedName name="_xlnm._FilterDatabase" localSheetId="1" hidden="1">'My sheet'!$A$1:$N$1001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<sst xmlns="http://schemas.openxmlformats.org/spreadsheetml/2006/main" count="16281" uniqueCount="74">
  <si>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</si>
  <si>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</si>
  <si>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</si>
  <si>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</si>
  <si>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</si>
  <si>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</si>
  <si>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</si>
  <si>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</si>
  <si>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</si>
  <si>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</si>
  <si>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</si>
  <si>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</si>
  <si>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</si>
  <si>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</si>
  <si>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</si>
  <si>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</si>
  <si>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</si>
  <si>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</si>
  <si>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</si>
  <si>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</si>
  <si>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</si>
  <si>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</si>
  <si>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</si>
  <si>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</si>
  <si>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</si>
  <si>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</si>
  <si>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</si>
  <si>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</si>
  <si>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</si>
  <si>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</si>
  <si>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</si>
  <si>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</si>
  <si>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</si>
  <si>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</si>
  <si>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</si>
  <si>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</si>
  <si>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</si>
  <si>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</si>
  <si>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</si>
  <si>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</si>
  <si>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Row Labels</t>
  </si>
  <si>
    <t>Grand Total</t>
  </si>
  <si>
    <t>Average of Income</t>
  </si>
  <si>
    <t>Column Labels</t>
  </si>
  <si>
    <t>Middle Age</t>
  </si>
  <si>
    <t>Old</t>
  </si>
  <si>
    <t>Adolescent</t>
  </si>
  <si>
    <t>Count of Purchased Bike</t>
  </si>
  <si>
    <t>More Than 10 Miles</t>
  </si>
  <si>
    <t>MARITAL STATUS</t>
  </si>
  <si>
    <t>GENDER</t>
  </si>
  <si>
    <t>INCOME</t>
  </si>
  <si>
    <t>CHILDREN</t>
  </si>
  <si>
    <t>EDUCATION</t>
  </si>
  <si>
    <t>OCCUPATION</t>
  </si>
  <si>
    <t>HOME OWNER</t>
  </si>
  <si>
    <t>CARS</t>
  </si>
  <si>
    <t>COMMUTE DISTANCE</t>
  </si>
  <si>
    <t>AGE</t>
  </si>
  <si>
    <t>AGE BRACKET</t>
  </si>
  <si>
    <t>PURCHASED BIKE</t>
  </si>
  <si>
    <t>BIKE BUYERS DASHBOARD</t>
  </si>
  <si>
    <t>-</t>
  </si>
  <si>
    <t>I removed  duplicates.</t>
  </si>
  <si>
    <t>I expanded values for Marital Status and Gender. Selected column, then ctrl + H, replaced characters with real words.</t>
  </si>
  <si>
    <t>Updated Income to be all Currency data type and remove decimal point numbers.</t>
  </si>
  <si>
    <t>I added pivot table in the same name sheet.</t>
  </si>
  <si>
    <t>I created a new column next to Age. And make up three catogories based on the age with nested if functions.</t>
  </si>
  <si>
    <t>I changed the value "10 + Miles" to "More than 10 Miles" in Commute Distance for better sorting.</t>
  </si>
  <si>
    <t>I createD pivot tables and save them in the same sheet.</t>
  </si>
  <si>
    <t>I created a dashboard:</t>
  </si>
  <si>
    <t>Created a head banner.</t>
  </si>
  <si>
    <t>Clicked a chart &gt; PivotChart Analyze &gt; Inser Slicer.</t>
  </si>
  <si>
    <t>Clicked the slicer &gt; Slicer &gt; Report connections, chose all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</si>
</sst>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39997558519241921"/>
      <name val="Calibri"/>
      <family val="2"/>
      <scheme val="minor"/>
    </font>
    <font>
      <b/>
      <sz val="11"/>
      <color theme="9" tint="0.39997558519241921"/>
      <name val="Calibri Light"/>
      <family val="2"/>
      <scheme val="major"/>
    </font>
    <font>
      <b/>
      <sz val="48"/>
      <color theme="9" tint="0.39997558519241921"/>
      <name val="Elephant"/>
      <family val="1"/>
    </font>
    <font>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6" fillId="0" borderId="0" xfId="0" applyFont="1"/>
    <xf numFmtId="0" fontId="20" fillId="33" borderId="0" xfId="0" applyFont="1" applyFill="1"/>
    <xf numFmtId="164" fontId="20" fillId="33" borderId="0" xfId="0" applyNumberFormat="1" applyFont="1" applyFill="1"/>
    <xf numFmtId="0" fontId="21" fillId="34" borderId="0" xfId="0" applyFont="1" applyFill="1" applyAlignment="1">
      <alignment horizontal="center" vertical="center"/>
    </xf>
    <xf numFmtId="0" fontId="19" fillId="34" borderId="0" xfId="0" applyFont="1" applyFill="1" applyAlignment="1">
      <alignment horizontal="center" vertical="center"/>
    </xf>
    <xf numFmtId="0" fontId="22" fillId="0" borderId="0" xfId="0" applyFont="1"/>
    <xf numFmtId="0" fontId="22" fillId="0" borderId="0" xfId="0" applyFon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_(* #,##0_);_(* \(#,##0\);_(* &quot;-&quot;??_);_(@_)"/>
    </dxf>
    <dxf>
      <numFmt numFmtId="164" formatCode="&quot;$&quot;#,##0.00"/>
    </dxf>
    <dxf>
      <font>
        <b/>
        <strike val="0"/>
        <outline val="0"/>
        <shadow val="0"/>
        <u val="none"/>
        <vertAlign val="baseline"/>
        <sz val="11"/>
        <color theme="9" tint="0.39997558519241921"/>
        <name val="Calibri Light"/>
        <family val="2"/>
        <scheme val="major"/>
      </font>
      <fill>
        <patternFill patternType="solid">
          <fgColor indexed="64"/>
          <bgColor theme="3"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Pivots!$B$3:$B$4</c:f>
              <c:strCache>
                <c:ptCount val="1"/>
                <c:pt idx="0">
                  <c:v>No</c:v>
                </c:pt>
              </c:strCache>
            </c:strRef>
          </c:tx>
          <c:spPr>
            <a:solidFill>
              <a:schemeClr val="accent1"/>
            </a:solidFill>
            <a:ln>
              <a:noFill/>
            </a:ln>
            <a:effectLst/>
          </c:spPr>
          <c:invertIfNegative val="0"/>
          <c:cat>
            <c:strRef>
              <c:f>Pivots!$A$5:$A$7</c:f>
              <c:strCache>
                <c:ptCount val="2"/>
                <c:pt idx="0">
                  <c:v>Female</c:v>
                </c:pt>
                <c:pt idx="1">
                  <c:v>Male</c:v>
                </c:pt>
              </c:strCache>
            </c:strRef>
          </c:cat>
          <c:val>
            <c:numRef>
              <c:f>Pivots!$B$5:$B$7</c:f>
              <c:numCache>
                <c:formatCode>_(* #,##0_);_(* \(#,##0\);_(* "-"??_);_(@_)</c:formatCode>
                <c:ptCount val="2"/>
                <c:pt idx="0">
                  <c:v>53440</c:v>
                </c:pt>
                <c:pt idx="1">
                  <c:v>56208.178438661707</c:v>
                </c:pt>
              </c:numCache>
            </c:numRef>
          </c:val>
          <c:extLst>
            <c:ext xmlns:c16="http://schemas.microsoft.com/office/drawing/2014/chart" uri="{C3380CC4-5D6E-409C-BE32-E72D297353CC}">
              <c16:uniqueId val="{00000000-4B92-42DE-BACF-84BD318C14B8}"/>
            </c:ext>
          </c:extLst>
        </c:ser>
        <c:ser>
          <c:idx val="1"/>
          <c:order val="1"/>
          <c:tx>
            <c:strRef>
              <c:f>Pivots!$C$3:$C$4</c:f>
              <c:strCache>
                <c:ptCount val="1"/>
                <c:pt idx="0">
                  <c:v>Yes</c:v>
                </c:pt>
              </c:strCache>
            </c:strRef>
          </c:tx>
          <c:spPr>
            <a:solidFill>
              <a:schemeClr val="accent2"/>
            </a:solidFill>
            <a:ln>
              <a:noFill/>
            </a:ln>
            <a:effectLst/>
          </c:spPr>
          <c:invertIfNegative val="0"/>
          <c:cat>
            <c:strRef>
              <c:f>Pivots!$A$5:$A$7</c:f>
              <c:strCache>
                <c:ptCount val="2"/>
                <c:pt idx="0">
                  <c:v>Female</c:v>
                </c:pt>
                <c:pt idx="1">
                  <c:v>Male</c:v>
                </c:pt>
              </c:strCache>
            </c:strRef>
          </c:cat>
          <c:val>
            <c:numRef>
              <c:f>Pivots!$C$5:$C$7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B92-42DE-BACF-84BD318C14B8}"/>
            </c:ext>
          </c:extLst>
        </c:ser>
        <c:dLbls>
          <c:showLegendKey val="0"/>
          <c:showVal val="0"/>
          <c:showCatName val="0"/>
          <c:showSerName val="0"/>
          <c:showPercent val="0"/>
          <c:showBubbleSize val="0"/>
        </c:dLbls>
        <c:gapWidth val="219"/>
        <c:overlap val="-27"/>
        <c:axId val="1132037296"/>
        <c:axId val="1132026064"/>
      </c:barChart>
      <c:catAx>
        <c:axId val="113203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26064"/>
        <c:crosses val="autoZero"/>
        <c:auto val="1"/>
        <c:lblAlgn val="ctr"/>
        <c:lblOffset val="100"/>
        <c:noMultiLvlLbl val="0"/>
      </c:catAx>
      <c:valAx>
        <c:axId val="113202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3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Pivots!$B$20:$B$21</c:f>
              <c:strCache>
                <c:ptCount val="1"/>
                <c:pt idx="0">
                  <c:v>No</c:v>
                </c:pt>
              </c:strCache>
            </c:strRef>
          </c:tx>
          <c:spPr>
            <a:ln w="28575" cap="rnd">
              <a:solidFill>
                <a:schemeClr val="accent1"/>
              </a:solidFill>
              <a:round/>
            </a:ln>
            <a:effectLst/>
          </c:spPr>
          <c:marker>
            <c:symbol val="none"/>
          </c:marker>
          <c:cat>
            <c:strRef>
              <c:f>Pivots!$A$22:$A$27</c:f>
              <c:strCache>
                <c:ptCount val="5"/>
                <c:pt idx="0">
                  <c:v>0-1 Miles</c:v>
                </c:pt>
                <c:pt idx="1">
                  <c:v>1-2 Miles</c:v>
                </c:pt>
                <c:pt idx="2">
                  <c:v>2-5 Miles</c:v>
                </c:pt>
                <c:pt idx="3">
                  <c:v>5-10 Miles</c:v>
                </c:pt>
                <c:pt idx="4">
                  <c:v>More Than 10 Miles</c:v>
                </c:pt>
              </c:strCache>
            </c:strRef>
          </c:cat>
          <c:val>
            <c:numRef>
              <c:f>Pivots!$B$22:$B$27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6B2-4C9B-9B7B-40E0ACA8A481}"/>
            </c:ext>
          </c:extLst>
        </c:ser>
        <c:ser>
          <c:idx val="1"/>
          <c:order val="1"/>
          <c:tx>
            <c:strRef>
              <c:f>Pivots!$C$20:$C$21</c:f>
              <c:strCache>
                <c:ptCount val="1"/>
                <c:pt idx="0">
                  <c:v>Yes</c:v>
                </c:pt>
              </c:strCache>
            </c:strRef>
          </c:tx>
          <c:spPr>
            <a:ln w="28575" cap="rnd">
              <a:solidFill>
                <a:schemeClr val="accent2"/>
              </a:solidFill>
              <a:round/>
            </a:ln>
            <a:effectLst/>
          </c:spPr>
          <c:marker>
            <c:symbol val="none"/>
          </c:marker>
          <c:cat>
            <c:strRef>
              <c:f>Pivots!$A$22:$A$27</c:f>
              <c:strCache>
                <c:ptCount val="5"/>
                <c:pt idx="0">
                  <c:v>0-1 Miles</c:v>
                </c:pt>
                <c:pt idx="1">
                  <c:v>1-2 Miles</c:v>
                </c:pt>
                <c:pt idx="2">
                  <c:v>2-5 Miles</c:v>
                </c:pt>
                <c:pt idx="3">
                  <c:v>5-10 Miles</c:v>
                </c:pt>
                <c:pt idx="4">
                  <c:v>More Than 10 Miles</c:v>
                </c:pt>
              </c:strCache>
            </c:strRef>
          </c:cat>
          <c:val>
            <c:numRef>
              <c:f>Pivots!$C$22:$C$27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6B2-4C9B-9B7B-40E0ACA8A481}"/>
            </c:ext>
          </c:extLst>
        </c:ser>
        <c:dLbls>
          <c:showLegendKey val="0"/>
          <c:showVal val="0"/>
          <c:showCatName val="0"/>
          <c:showSerName val="0"/>
          <c:showPercent val="0"/>
          <c:showBubbleSize val="0"/>
        </c:dLbls>
        <c:smooth val="0"/>
        <c:axId val="1142906752"/>
        <c:axId val="1142907584"/>
      </c:lineChart>
      <c:catAx>
        <c:axId val="114290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07584"/>
        <c:crosses val="autoZero"/>
        <c:auto val="1"/>
        <c:lblAlgn val="ctr"/>
        <c:lblOffset val="100"/>
        <c:noMultiLvlLbl val="0"/>
      </c:catAx>
      <c:valAx>
        <c:axId val="114290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0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Pivots!$A$38:$A$41</c:f>
              <c:strCache>
                <c:ptCount val="3"/>
                <c:pt idx="0">
                  <c:v>Adolescent</c:v>
                </c:pt>
                <c:pt idx="1">
                  <c:v>Middle Age</c:v>
                </c:pt>
                <c:pt idx="2">
                  <c:v>Old</c:v>
                </c:pt>
              </c:strCache>
            </c:strRef>
          </c:cat>
          <c:val>
            <c:numRef>
              <c:f>Pivots!$B$38:$B$41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884-4F0E-AFD1-36165001421F}"/>
            </c:ext>
          </c:extLst>
        </c:ser>
        <c:ser>
          <c:idx val="1"/>
          <c:order val="1"/>
          <c:tx>
            <c:strRef>
              <c:f>Pivots!$C$36:$C$37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Pivots!$A$38:$A$41</c:f>
              <c:strCache>
                <c:ptCount val="3"/>
                <c:pt idx="0">
                  <c:v>Adolescent</c:v>
                </c:pt>
                <c:pt idx="1">
                  <c:v>Middle Age</c:v>
                </c:pt>
                <c:pt idx="2">
                  <c:v>Old</c:v>
                </c:pt>
              </c:strCache>
            </c:strRef>
          </c:cat>
          <c:val>
            <c:numRef>
              <c:f>Pivots!$C$38:$C$41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884-4F0E-AFD1-36165001421F}"/>
            </c:ext>
          </c:extLst>
        </c:ser>
        <c:dLbls>
          <c:showLegendKey val="0"/>
          <c:showVal val="0"/>
          <c:showCatName val="0"/>
          <c:showSerName val="0"/>
          <c:showPercent val="0"/>
          <c:showBubbleSize val="0"/>
        </c:dLbls>
        <c:marker val="1"/>
        <c:smooth val="0"/>
        <c:axId val="1142883456"/>
        <c:axId val="1142883872"/>
      </c:lineChart>
      <c:catAx>
        <c:axId val="1142883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883872"/>
        <c:crosses val="autoZero"/>
        <c:auto val="1"/>
        <c:lblAlgn val="ctr"/>
        <c:lblOffset val="100"/>
        <c:noMultiLvlLbl val="0"/>
      </c:catAx>
      <c:valAx>
        <c:axId val="114288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88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Project.xlsx]Pivots!PivotTable1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a:t>
            </a:r>
            <a:r>
              <a:rPr lang="en-US" baseline="0"/>
              <a:t> INCOME PER PURCHASE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Pivots!$B$3:$B$4</c:f>
              <c:strCache>
                <c:ptCount val="1"/>
                <c:pt idx="0">
                  <c:v>No</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Pivots!$A$5:$A$7</c:f>
              <c:strCache>
                <c:ptCount val="2"/>
                <c:pt idx="0">
                  <c:v>Female</c:v>
                </c:pt>
                <c:pt idx="1">
                  <c:v>Male</c:v>
                </c:pt>
              </c:strCache>
            </c:strRef>
          </c:cat>
          <c:val>
            <c:numRef>
              <c:f>Pivots!$B$5:$B$7</c:f>
              <c:numCache>
                <c:formatCode>_(* #,##0_);_(* \(#,##0\);_(* "-"??_);_(@_)</c:formatCode>
                <c:ptCount val="2"/>
                <c:pt idx="0">
                  <c:v>53440</c:v>
                </c:pt>
                <c:pt idx="1">
                  <c:v>56208.178438661707</c:v>
                </c:pt>
              </c:numCache>
            </c:numRef>
          </c:val>
          <c:extLst>
            <c:ext xmlns:c16="http://schemas.microsoft.com/office/drawing/2014/chart" uri="{C3380CC4-5D6E-409C-BE32-E72D297353CC}">
              <c16:uniqueId val="{00000000-2549-4FDF-BAA0-DBE86B605519}"/>
            </c:ext>
          </c:extLst>
        </c:ser>
        <c:ser>
          <c:idx val="1"/>
          <c:order val="1"/>
          <c:tx>
            <c:strRef>
              <c:f>Pivots!$C$3:$C$4</c:f>
              <c:strCache>
                <c:ptCount val="1"/>
                <c:pt idx="0">
                  <c:v>Yes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Pivots!$A$5:$A$7</c:f>
              <c:strCache>
                <c:ptCount val="2"/>
                <c:pt idx="0">
                  <c:v>Female</c:v>
                </c:pt>
                <c:pt idx="1">
                  <c:v>Male</c:v>
                </c:pt>
              </c:strCache>
            </c:strRef>
          </c:cat>
          <c:val>
            <c:numRef>
              <c:f>Pivots!$C$5:$C$7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549-4FDF-BAA0-DBE86B605519}"/>
            </c:ext>
          </c:extLst>
        </c:ser>
        <c:dLbls>
          <c:showLegendKey val="0"/>
          <c:showVal val="0"/>
          <c:showCatName val="0"/>
          <c:showSerName val="0"/>
          <c:showPercent val="0"/>
          <c:showBubbleSize val="0"/>
        </c:dLbls>
        <c:gapWidth val="315"/>
        <c:overlap val="-40"/>
        <c:axId val="1132037296"/>
        <c:axId val="1132026064"/>
      </c:barChart>
      <c:catAx>
        <c:axId val="113203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2026064"/>
        <c:crosses val="autoZero"/>
        <c:auto val="1"/>
        <c:lblAlgn val="ctr"/>
        <c:lblOffset val="100"/>
        <c:noMultiLvlLbl val="0"/>
      </c:catAx>
      <c:valAx>
        <c:axId val="113202606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203729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Pivots!$B$20:$B$21</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Pivots!$A$22:$A$27</c:f>
              <c:strCache>
                <c:ptCount val="5"/>
                <c:pt idx="0">
                  <c:v>0-1 Miles</c:v>
                </c:pt>
                <c:pt idx="1">
                  <c:v>1-2 Miles</c:v>
                </c:pt>
                <c:pt idx="2">
                  <c:v>2-5 Miles</c:v>
                </c:pt>
                <c:pt idx="3">
                  <c:v>5-10 Miles</c:v>
                </c:pt>
                <c:pt idx="4">
                  <c:v>More Than 10 Miles</c:v>
                </c:pt>
              </c:strCache>
            </c:strRef>
          </c:cat>
          <c:val>
            <c:numRef>
              <c:f>Pivots!$B$22:$B$27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DE1-4B37-88A7-9DE4EE4C6346}"/>
            </c:ext>
          </c:extLst>
        </c:ser>
        <c:ser>
          <c:idx val="1"/>
          <c:order val="1"/>
          <c:tx>
            <c:strRef>
              <c:f>Pivots!$C$20:$C$21</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Pivots!$A$22:$A$27</c:f>
              <c:strCache>
                <c:ptCount val="5"/>
                <c:pt idx="0">
                  <c:v>0-1 Miles</c:v>
                </c:pt>
                <c:pt idx="1">
                  <c:v>1-2 Miles</c:v>
                </c:pt>
                <c:pt idx="2">
                  <c:v>2-5 Miles</c:v>
                </c:pt>
                <c:pt idx="3">
                  <c:v>5-10 Miles</c:v>
                </c:pt>
                <c:pt idx="4">
                  <c:v>More Than 10 Miles</c:v>
                </c:pt>
              </c:strCache>
            </c:strRef>
          </c:cat>
          <c:val>
            <c:numRef>
              <c:f>Pivots!$C$22:$C$27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DE1-4B37-88A7-9DE4EE4C6346}"/>
            </c:ext>
          </c:extLst>
        </c:ser>
        <c:dLbls>
          <c:showLegendKey val="0"/>
          <c:showVal val="0"/>
          <c:showCatName val="0"/>
          <c:showSerName val="0"/>
          <c:showPercent val="0"/>
          <c:showBubbleSize val="0"/>
        </c:dLbls>
        <c:marker val="1"/>
        <c:smooth val="0"/>
        <c:axId val="1142906752"/>
        <c:axId val="1142907584"/>
      </c:lineChart>
      <c:catAx>
        <c:axId val="1142906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907584"/>
        <c:crosses val="autoZero"/>
        <c:auto val="1"/>
        <c:lblAlgn val="ctr"/>
        <c:lblOffset val="100"/>
        <c:noMultiLvlLbl val="0"/>
      </c:catAx>
      <c:valAx>
        <c:axId val="114290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9067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Excel Project.xlsx]Pivots!PivotTable3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Pivots!$B$36:$B$37</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Pivots!$A$38:$A$41</c:f>
              <c:strCache>
                <c:ptCount val="3"/>
                <c:pt idx="0">
                  <c:v>Adolescent</c:v>
                </c:pt>
                <c:pt idx="1">
                  <c:v>Middle Age</c:v>
                </c:pt>
                <c:pt idx="2">
                  <c:v>Old</c:v>
                </c:pt>
              </c:strCache>
            </c:strRef>
          </c:cat>
          <c:val>
            <c:numRef>
              <c:f>Pivots!$B$38:$B$41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011-4302-9884-6FB5B7C799DB}"/>
            </c:ext>
          </c:extLst>
        </c:ser>
        <c:ser>
          <c:idx val="1"/>
          <c:order val="1"/>
          <c:tx>
            <c:strRef>
              <c:f>Pivots!$C$36:$C$37</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Pivots!$A$38:$A$41</c:f>
              <c:strCache>
                <c:ptCount val="3"/>
                <c:pt idx="0">
                  <c:v>Adolescent</c:v>
                </c:pt>
                <c:pt idx="1">
                  <c:v>Middle Age</c:v>
                </c:pt>
                <c:pt idx="2">
                  <c:v>Old</c:v>
                </c:pt>
              </c:strCache>
            </c:strRef>
          </c:cat>
          <c:val>
            <c:numRef>
              <c:f>Pivots!$C$38:$C$41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011-4302-9884-6FB5B7C799DB}"/>
            </c:ext>
          </c:extLst>
        </c:ser>
        <c:dLbls>
          <c:showLegendKey val="0"/>
          <c:showVal val="0"/>
          <c:showCatName val="0"/>
          <c:showSerName val="0"/>
          <c:showPercent val="0"/>
          <c:showBubbleSize val="0"/>
        </c:dLbls>
        <c:marker val="1"/>
        <c:smooth val="0"/>
        <c:axId val="1142883456"/>
        <c:axId val="1142883872"/>
      </c:lineChart>
      <c:catAx>
        <c:axId val="11428834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883872"/>
        <c:crosses val="autoZero"/>
        <c:auto val="1"/>
        <c:lblAlgn val="ctr"/>
        <c:lblOffset val="100"/>
        <c:noMultiLvlLbl val="0"/>
      </c:catAx>
      <c:valAx>
        <c:axId val="114288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88345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452437</xdr:colOff>
      <xdr:row>2</xdr:row>
      <xdr:rowOff>119062</xdr:rowOff>
    </xdr:from>
    <xdr:to>
      <xdr:col>12</xdr:col>
      <xdr:colOff>147637</xdr:colOff>
      <xdr:row>17</xdr:row>
      <xdr:rowOff>4762</xdr:rowOff>
    </xdr:to>
    <xdr:graphicFrame macro="">
      <xdr:nvGraphicFramePr>
        <xdr:cNvPr id="2" name="Chart 1">
          <a:extLst>
            <a:ext uri="{FF2B5EF4-FFF2-40B4-BE49-F238E27FC236}">
              <a16:creationId xmlns:a16="http://schemas.microsoft.com/office/drawing/2014/main" id="{1AAECD5B-2742-0B09-C74A-0074F5E8D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442912</xdr:colOff>
      <xdr:row>17</xdr:row>
      <xdr:rowOff>185737</xdr:rowOff>
    </xdr:from>
    <xdr:to>
      <xdr:col>12</xdr:col>
      <xdr:colOff>138112</xdr:colOff>
      <xdr:row>32</xdr:row>
      <xdr:rowOff>71437</xdr:rowOff>
    </xdr:to>
    <xdr:graphicFrame macro="">
      <xdr:nvGraphicFramePr>
        <xdr:cNvPr id="3" name="Chart 2">
          <a:extLst>
            <a:ext uri="{FF2B5EF4-FFF2-40B4-BE49-F238E27FC236}">
              <a16:creationId xmlns:a16="http://schemas.microsoft.com/office/drawing/2014/main" id="{59DAEFBF-15A3-28DD-04E8-8AD4E19FE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423862</xdr:colOff>
      <xdr:row>33</xdr:row>
      <xdr:rowOff>109536</xdr:rowOff>
    </xdr:from>
    <xdr:to>
      <xdr:col>12</xdr:col>
      <xdr:colOff>119062</xdr:colOff>
      <xdr:row>48</xdr:row>
      <xdr:rowOff>190499</xdr:rowOff>
    </xdr:to>
    <xdr:graphicFrame macro="">
      <xdr:nvGraphicFramePr>
        <xdr:cNvPr id="4" name="Chart 3">
          <a:extLst>
            <a:ext uri="{FF2B5EF4-FFF2-40B4-BE49-F238E27FC236}">
              <a16:creationId xmlns:a16="http://schemas.microsoft.com/office/drawing/2014/main" id="{0261AA93-54AB-1215-854E-40F19F088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9525</xdr:rowOff>
    </xdr:from>
    <xdr:to>
      <xdr:col>5</xdr:col>
      <xdr:colOff>761999</xdr:colOff>
      <xdr:row>27</xdr:row>
      <xdr:rowOff>152399</xdr:rowOff>
    </xdr:to>
    <xdr:graphicFrame macro="">
      <xdr:nvGraphicFramePr>
        <xdr:cNvPr id="2" name="Chart 1">
          <a:extLst>
            <a:ext uri="{FF2B5EF4-FFF2-40B4-BE49-F238E27FC236}">
              <a16:creationId xmlns:a16="http://schemas.microsoft.com/office/drawing/2014/main" id="{0DC8F9A5-B742-496C-AE9C-3095D1A53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123824</xdr:rowOff>
    </xdr:from>
    <xdr:to>
      <xdr:col>11</xdr:col>
      <xdr:colOff>704850</xdr:colOff>
      <xdr:row>43</xdr:row>
      <xdr:rowOff>146537</xdr:rowOff>
    </xdr:to>
    <xdr:graphicFrame macro="">
      <xdr:nvGraphicFramePr>
        <xdr:cNvPr id="3" name="Chart 2">
          <a:extLst>
            <a:ext uri="{FF2B5EF4-FFF2-40B4-BE49-F238E27FC236}">
              <a16:creationId xmlns:a16="http://schemas.microsoft.com/office/drawing/2014/main" id="{CC9F8E27-CB03-4614-BC2A-4C2730883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762001</xdr:colOff>
      <xdr:row>8</xdr:row>
      <xdr:rowOff>10512</xdr:rowOff>
    </xdr:from>
    <xdr:to>
      <xdr:col>11</xdr:col>
      <xdr:colOff>692395</xdr:colOff>
      <xdr:row>27</xdr:row>
      <xdr:rowOff>133350</xdr:rowOff>
    </xdr:to>
    <xdr:graphicFrame macro="">
      <xdr:nvGraphicFramePr>
        <xdr:cNvPr id="4" name="Chart 3">
          <a:extLst>
            <a:ext uri="{FF2B5EF4-FFF2-40B4-BE49-F238E27FC236}">
              <a16:creationId xmlns:a16="http://schemas.microsoft.com/office/drawing/2014/main" id="{0CC445DB-3913-4071-99A1-E0D2ABE70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705082</xdr:colOff>
      <xdr:row>8</xdr:row>
      <xdr:rowOff>38100</xdr:rowOff>
    </xdr:from>
    <xdr:to>
      <xdr:col>14</xdr:col>
      <xdr:colOff>28574</xdr:colOff>
      <xdr:row>12</xdr:row>
      <xdr:rowOff>190499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B351A9C0-C89C-49A0-AEAB-30C7D964E84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365056" y="1593202"/>
              <a:ext cx="1685304" cy="92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701919</xdr:colOff>
      <xdr:row>19</xdr:row>
      <xdr:rowOff>19053</xdr:rowOff>
    </xdr:from>
    <xdr:to>
      <xdr:col>14</xdr:col>
      <xdr:colOff>38099</xdr:colOff>
      <xdr:row>27</xdr:row>
      <xdr:rowOff>163810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89B504B-6ACE-ACC1-8DD0-1DC10F6CED3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361893" y="3712420"/>
              <a:ext cx="1697992" cy="1699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686532</xdr:colOff>
      <xdr:row>13</xdr:row>
      <xdr:rowOff>4397</xdr:rowOff>
    </xdr:from>
    <xdr:to>
      <xdr:col>14</xdr:col>
      <xdr:colOff>38100</xdr:colOff>
      <xdr:row>19</xdr:row>
      <xdr:rowOff>19050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65163BB-76F0-BF1A-61EF-E96D198AA1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46506" y="2531438"/>
              <a:ext cx="1713380" cy="1180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ber Keiper" refreshedDate="44841.708787037038" createdVersion="8" refreshedVersion="8" minRefreshableVersion="3" recordCount="1000" xr:uid="{12D15E0A-F1D6-4F08-8A82-54743FB37D72}">
  <cacheSource type="worksheet">
    <worksheetSource ref="A1:N1001" sheet="My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s v="Old"/>
        <s v="Adolescent"/>
        <s v="Old 55+" u="1"/>
        <s v="Middle Age 31-54"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605750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95C1D-238B-45D4-A752-7AD9CF31A3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4"/>
        <item m="1" x="3"/>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343C37-BEBE-42F8-AC53-1EEC6B7080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F332A5-8201-42C4-B036-2DBB08A738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C55DF88-37E9-403A-98F9-CDBE762D896B}" sourceName="Marital Status">
  <pivotTables>
    <pivotTable tabId="3" name="PivotTable1"/>
    <pivotTable tabId="3" name="PivotTable2"/>
    <pivotTable tabId="3" name="PivotTable3"/>
  </pivotTables>
  <data>
    <tabular pivotCacheId="16057504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FC79FA8-8AB5-4EAF-B3AE-118C6729F30D}" sourceName="Education">
  <pivotTables>
    <pivotTable tabId="3" name="PivotTable3"/>
    <pivotTable tabId="3" name="PivotTable1"/>
    <pivotTable tabId="3" name="PivotTable2"/>
  </pivotTables>
  <data>
    <tabular pivotCacheId="160575041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A65041-1A3B-4862-B697-F41213C0CEA6}" sourceName="Region">
  <pivotTables>
    <pivotTable tabId="3" name="PivotTable3"/>
    <pivotTable tabId="3" name="PivotTable1"/>
    <pivotTable tabId="3" name="PivotTable2"/>
  </pivotTables>
  <data>
    <tabular pivotCacheId="160575041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A4504EF-F8E6-4E24-9ECB-24A3369F8E97}" cache="Slicer_Marital_Status" caption="Marital Status" rowHeight="241300"/>
  <slicer name="Education" xr10:uid="{FBC6C5D0-FFA3-4DB4-8779-5F00D14D0F33}" cache="Slicer_Education" caption="Education" lockedPosition="1" rowHeight="241300"/>
  <slicer name="Region" xr10:uid="{1B3D0F6E-FDB7-4082-B8D1-3A6C7702B909}"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693FA2-4CE2-4303-B342-53B43693251C}" name="Table1" displayName="Table1" ref="A1:N1001" totalsRowShown="0" headerRowDxfId="2">
  <autoFilter ref="A1:N1001" xr:uid="{64D9EEE2-6DDA-4F1F-B7B9-5A8281C40A4C}"/>
  <tableColumns count="14">
    <tableColumn id="1" xr3:uid="{97EBAA69-3BA9-4038-9F1C-790605E8D621}" name="ID"/>
    <tableColumn id="2" xr3:uid="{D22B23A2-20A3-4B48-B8FB-01B78C36683C}" name="MARITAL STATUS"/>
    <tableColumn id="3" xr3:uid="{4583FD13-D487-4D4B-8C7F-D7C68AD2A76D}" name="GENDER"/>
    <tableColumn id="4" xr3:uid="{322EECDA-D8EA-4A4B-8E00-80B3FB2C40AB}" name="INCOME" dataDxfId="1"/>
    <tableColumn id="5" xr3:uid="{C2DAA89C-2123-46F4-A262-A352499734C3}" name="CHILDREN"/>
    <tableColumn id="6" xr3:uid="{2FB7CD41-08FD-4F28-9F43-4E9B325FE065}" name="EDUCATION"/>
    <tableColumn id="7" xr3:uid="{51B41192-6ABA-47F9-BFA4-F2D118FACAE3}" name="OCCUPATION"/>
    <tableColumn id="8" xr3:uid="{A29894E1-F1BA-4F4F-95B2-25F05A432D98}" name="HOME OWNER"/>
    <tableColumn id="9" xr3:uid="{381D8B8C-CB5C-4F1F-8722-C11CE8D3EE5B}" name="CARS"/>
    <tableColumn id="10" xr3:uid="{5E5379F4-74C3-4528-94C9-1ADDE6EFC651}" name="COMMUTE DISTANCE"/>
    <tableColumn id="11" xr3:uid="{FCBBBCA6-5EB7-494D-9B5E-018C89A2F16D}" name="Region"/>
    <tableColumn id="12" xr3:uid="{7648B733-6A9E-4BD9-9A63-FF6EA2A1A76E}" name="AGE"/>
    <tableColumn id="13" xr3:uid="{9736CC44-C264-431A-869A-09D7DAC3821B}" name="AGE BRACKET">
      <calculatedColumnFormula>IF(L2&gt;54,"Old", IF(L2&gt;=31,"Middle Age", IF(L2&lt;31,"Adolescent","invalid")))</calculatedColumnFormula>
    </tableColumn>
    <tableColumn id="14" xr3:uid="{DF2E01CA-CB42-423C-A317-89A516301D8B}" name="PURCHASED BIKE"/>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2" max="2" width="13.5703125" customWidth="1"/>
    <col min="6" max="6" width="19" customWidth="1"/>
    <col min="7" max="7" width="15.140625" customWidth="1"/>
    <col min="8" max="8" width="14.28515625" customWidth="1"/>
    <col min="10" max="10" width="17.5703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9EEE2-6DDA-4F1F-B7B9-5A8281C40A4C}">
  <dimension ref="A1:N1001"/>
  <sheetViews>
    <sheetView workbookViewId="0">
      <selection activeCell="O4" sqref="O4"/>
    </sheetView>
  </sheetViews>
  <sheetFormatPr defaultColWidth="11.85546875" defaultRowHeight="15" x14ac:dyDescent="0.25"/>
  <cols>
    <col min="2" max="2" width="23.7109375" customWidth="1"/>
    <col min="4" max="4" width="17" style="1" customWidth="1"/>
    <col min="6" max="6" width="23.7109375" customWidth="1"/>
    <col min="7" max="7" width="20.42578125" customWidth="1"/>
    <col min="8" max="8" width="17.5703125" customWidth="1"/>
    <col min="10" max="10" width="21" customWidth="1"/>
    <col min="11" max="11" width="12.5703125" customWidth="1"/>
    <col min="13" max="13" width="16" customWidth="1"/>
    <col min="14" max="14" width="20.7109375" bestFit="1" customWidth="1"/>
  </cols>
  <sheetData>
    <row r="1" spans="1:14" s="6" customFormat="1" x14ac:dyDescent="0.25">
      <c r="A1" s="7" t="s">
        <v>0</v>
      </c>
      <c r="B1" s="7" t="s">
        <v>49</v>
      </c>
      <c r="C1" s="7" t="s">
        <v>50</v>
      </c>
      <c r="D1" s="8" t="s">
        <v>51</v>
      </c>
      <c r="E1" s="7" t="s">
        <v>52</v>
      </c>
      <c r="F1" s="7" t="s">
        <v>53</v>
      </c>
      <c r="G1" s="7" t="s">
        <v>54</v>
      </c>
      <c r="H1" s="7" t="s">
        <v>55</v>
      </c>
      <c r="I1" s="7" t="s">
        <v>56</v>
      </c>
      <c r="J1" s="7" t="s">
        <v>57</v>
      </c>
      <c r="K1" s="7" t="s">
        <v>10</v>
      </c>
      <c r="L1" s="7" t="s">
        <v>58</v>
      </c>
      <c r="M1" s="7" t="s">
        <v>59</v>
      </c>
      <c r="N1" s="7" t="s">
        <v>60</v>
      </c>
    </row>
    <row r="2" spans="1:14" x14ac:dyDescent="0.25">
      <c r="A2">
        <v>12496</v>
      </c>
      <c r="B2" t="s">
        <v>36</v>
      </c>
      <c r="C2" t="s">
        <v>39</v>
      </c>
      <c r="D2" s="1">
        <v>40000</v>
      </c>
      <c r="E2">
        <v>1</v>
      </c>
      <c r="F2" t="s">
        <v>13</v>
      </c>
      <c r="G2" t="s">
        <v>14</v>
      </c>
      <c r="H2" t="s">
        <v>15</v>
      </c>
      <c r="I2">
        <v>0</v>
      </c>
      <c r="J2" t="s">
        <v>16</v>
      </c>
      <c r="K2" t="s">
        <v>17</v>
      </c>
      <c r="L2">
        <v>42</v>
      </c>
      <c r="M2" t="str">
        <f>IF(L2&gt;54,"Old", IF(L2&gt;=31,"Middle Age", IF(L2&lt;31,"Adolescent","invalid")))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 IF(L3&gt;=31,"Middle Age", IF(L3&lt;31,"Adolescent","invalid")))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48</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48</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48</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48</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48</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 IF(L67&gt;=31,"Middle Age", IF(L67&lt;31,"Adolescent","invalid")))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48</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48</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48</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48</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 IF(L131&gt;=31,"Middle Age", IF(L131&lt;31,"Adolescent","invalid")))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48</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48</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48</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48</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48</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48</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48</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48</v>
      </c>
      <c r="K195" t="s">
        <v>24</v>
      </c>
      <c r="L195">
        <v>41</v>
      </c>
      <c r="M195" t="str">
        <f t="shared" ref="M195:M258" si="3">IF(L195&gt;54,"Old", IF(L195&gt;=31,"Middle Age", 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48</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48</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48</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48</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48</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48</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48</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48</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48</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48</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 IF(L259&gt;=31,"Middle Age", IF(L259&lt;31,"Adolescent","invalid")))</f>
        <v>Middle Age</v>
      </c>
      <c r="N259" t="s">
        <v>15</v>
      </c>
    </row>
    <row r="260" spans="1:14" x14ac:dyDescent="0.25">
      <c r="A260">
        <v>14193</v>
      </c>
      <c r="B260" t="s">
        <v>37</v>
      </c>
      <c r="C260" t="s">
        <v>39</v>
      </c>
      <c r="D260" s="1">
        <v>100000</v>
      </c>
      <c r="E260">
        <v>3</v>
      </c>
      <c r="F260" t="s">
        <v>19</v>
      </c>
      <c r="G260" t="s">
        <v>28</v>
      </c>
      <c r="H260" t="s">
        <v>15</v>
      </c>
      <c r="I260">
        <v>4</v>
      </c>
      <c r="J260" t="s">
        <v>48</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48</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48</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48</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48</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 IF(L323&gt;=31,"Middle Age", 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48</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48</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48</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48</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48</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48</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48</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 IF(L387&gt;=31,"Middle Age", IF(L387&lt;31,"Adolescent","invalid")))</f>
        <v>Middle Age</v>
      </c>
      <c r="N387" t="s">
        <v>18</v>
      </c>
    </row>
    <row r="388" spans="1:14" x14ac:dyDescent="0.25">
      <c r="A388">
        <v>28957</v>
      </c>
      <c r="B388" t="s">
        <v>37</v>
      </c>
      <c r="C388" t="s">
        <v>39</v>
      </c>
      <c r="D388" s="1">
        <v>120000</v>
      </c>
      <c r="E388">
        <v>0</v>
      </c>
      <c r="F388" t="s">
        <v>29</v>
      </c>
      <c r="G388" t="s">
        <v>21</v>
      </c>
      <c r="H388" t="s">
        <v>15</v>
      </c>
      <c r="I388">
        <v>4</v>
      </c>
      <c r="J388" t="s">
        <v>48</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48</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48</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48</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48</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48</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48</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 IF(L451&gt;=31,"Middle Age", 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48</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48</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48</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48</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48</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48</v>
      </c>
      <c r="K515" t="s">
        <v>32</v>
      </c>
      <c r="L515">
        <v>61</v>
      </c>
      <c r="M515" t="str">
        <f t="shared" ref="M515:M578" si="8">IF(L515&gt;54,"Old", IF(L515&gt;=31,"Middle Age", IF(L515&lt;31,"Adolescent","invalid")))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48</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48</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48</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48</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48</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48</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48</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48</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48</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48</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48</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 IF(L579&gt;=31,"Middle Age", IF(L579&lt;31,"Adolescent","invalid")))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48</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48</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48</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48</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48</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48</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48</v>
      </c>
      <c r="K643" t="s">
        <v>32</v>
      </c>
      <c r="L643">
        <v>64</v>
      </c>
      <c r="M643" t="str">
        <f t="shared" ref="M643:M706" si="10">IF(L643&gt;54,"Old", IF(L643&gt;=31,"Middle Age", IF(L643&lt;31,"Adolescent","invalid")))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48</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48</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48</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48</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48</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48</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48</v>
      </c>
      <c r="K707" t="s">
        <v>32</v>
      </c>
      <c r="L707">
        <v>59</v>
      </c>
      <c r="M707" t="str">
        <f t="shared" ref="M707:M770" si="11">IF(L707&gt;54,"Old", IF(L707&gt;=31,"Middle Age", IF(L707&lt;31,"Adolescent","invalid")))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48</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48</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48</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48</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48</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48</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48</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48</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 IF(L771&gt;=31,"Middle Age", IF(L771&lt;31,"Adolescent","invalid")))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48</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48</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48</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48</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 IF(L835&gt;=31,"Middle Age", 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48</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48</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48</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48</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48</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 IF(L899&gt;=31,"Middle Age", IF(L899&lt;31,"Adolescent","invalid")))</f>
        <v>Adolescent</v>
      </c>
      <c r="N899" t="s">
        <v>18</v>
      </c>
    </row>
    <row r="900" spans="1:14" x14ac:dyDescent="0.25">
      <c r="A900">
        <v>18066</v>
      </c>
      <c r="B900" t="s">
        <v>37</v>
      </c>
      <c r="C900" t="s">
        <v>38</v>
      </c>
      <c r="D900" s="1">
        <v>70000</v>
      </c>
      <c r="E900">
        <v>5</v>
      </c>
      <c r="F900" t="s">
        <v>13</v>
      </c>
      <c r="G900" t="s">
        <v>28</v>
      </c>
      <c r="H900" t="s">
        <v>15</v>
      </c>
      <c r="I900">
        <v>3</v>
      </c>
      <c r="J900" t="s">
        <v>48</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48</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48</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48</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48</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48</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48</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48</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IF(L963&gt;54,"Old", IF(L963&gt;=31,"Middle Age", IF(L963&lt;31,"Adolescent","invalid")))</f>
        <v>Old</v>
      </c>
      <c r="N963" t="s">
        <v>18</v>
      </c>
    </row>
    <row r="964" spans="1:14" x14ac:dyDescent="0.25">
      <c r="A964">
        <v>16813</v>
      </c>
      <c r="B964" t="s">
        <v>36</v>
      </c>
      <c r="C964" t="s">
        <v>38</v>
      </c>
      <c r="D964" s="1">
        <v>60000</v>
      </c>
      <c r="E964">
        <v>2</v>
      </c>
      <c r="F964" t="s">
        <v>19</v>
      </c>
      <c r="G964" t="s">
        <v>21</v>
      </c>
      <c r="H964" t="s">
        <v>15</v>
      </c>
      <c r="I964">
        <v>2</v>
      </c>
      <c r="J964" t="s">
        <v>48</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48</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48</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48</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48</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48</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48</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48</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E3BB-3600-4813-A826-E249EF5D5A59}">
  <dimension ref="A3:D41"/>
  <sheetViews>
    <sheetView workbookViewId="0">
      <selection activeCell="H68" sqref="H6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42</v>
      </c>
      <c r="B3" s="3" t="s">
        <v>43</v>
      </c>
    </row>
    <row r="4" spans="1:4" x14ac:dyDescent="0.25">
      <c r="A4" s="3" t="s">
        <v>40</v>
      </c>
      <c r="B4" t="s">
        <v>18</v>
      </c>
      <c r="C4" t="s">
        <v>15</v>
      </c>
      <c r="D4" t="s">
        <v>41</v>
      </c>
    </row>
    <row r="5" spans="1:4" x14ac:dyDescent="0.25">
      <c r="A5" s="4" t="s">
        <v>39</v>
      </c>
      <c r="B5" s="5">
        <v>53440</v>
      </c>
      <c r="C5" s="5">
        <v>55774.058577405856</v>
      </c>
      <c r="D5" s="5">
        <v>54580.777096114522</v>
      </c>
    </row>
    <row r="6" spans="1:4" x14ac:dyDescent="0.25">
      <c r="A6" s="4" t="s">
        <v>38</v>
      </c>
      <c r="B6" s="5">
        <v>56208.178438661707</v>
      </c>
      <c r="C6" s="5">
        <v>60123.966942148763</v>
      </c>
      <c r="D6" s="5">
        <v>58062.62230919765</v>
      </c>
    </row>
    <row r="7" spans="1:4" x14ac:dyDescent="0.25">
      <c r="A7" s="4" t="s">
        <v>41</v>
      </c>
      <c r="B7" s="5">
        <v>54874.759152215796</v>
      </c>
      <c r="C7" s="5">
        <v>57962.577962577961</v>
      </c>
      <c r="D7" s="5">
        <v>56360</v>
      </c>
    </row>
    <row r="20" spans="1:4" x14ac:dyDescent="0.25">
      <c r="A20" s="3" t="s">
        <v>47</v>
      </c>
      <c r="B20" s="3" t="s">
        <v>43</v>
      </c>
    </row>
    <row r="21" spans="1:4" x14ac:dyDescent="0.25">
      <c r="A21" s="3" t="s">
        <v>40</v>
      </c>
      <c r="B21" t="s">
        <v>18</v>
      </c>
      <c r="C21" t="s">
        <v>15</v>
      </c>
      <c r="D21" t="s">
        <v>41</v>
      </c>
    </row>
    <row r="22" spans="1:4" x14ac:dyDescent="0.25">
      <c r="A22" s="4" t="s">
        <v>16</v>
      </c>
      <c r="B22">
        <v>166</v>
      </c>
      <c r="C22">
        <v>200</v>
      </c>
      <c r="D22">
        <v>366</v>
      </c>
    </row>
    <row r="23" spans="1:4" x14ac:dyDescent="0.25">
      <c r="A23" s="4" t="s">
        <v>26</v>
      </c>
      <c r="B23">
        <v>92</v>
      </c>
      <c r="C23">
        <v>77</v>
      </c>
      <c r="D23">
        <v>169</v>
      </c>
    </row>
    <row r="24" spans="1:4" x14ac:dyDescent="0.25">
      <c r="A24" s="4" t="s">
        <v>22</v>
      </c>
      <c r="B24">
        <v>67</v>
      </c>
      <c r="C24">
        <v>95</v>
      </c>
      <c r="D24">
        <v>162</v>
      </c>
    </row>
    <row r="25" spans="1:4" x14ac:dyDescent="0.25">
      <c r="A25" s="4" t="s">
        <v>23</v>
      </c>
      <c r="B25">
        <v>116</v>
      </c>
      <c r="C25">
        <v>76</v>
      </c>
      <c r="D25">
        <v>192</v>
      </c>
    </row>
    <row r="26" spans="1:4" x14ac:dyDescent="0.25">
      <c r="A26" s="4" t="s">
        <v>48</v>
      </c>
      <c r="B26">
        <v>78</v>
      </c>
      <c r="C26">
        <v>33</v>
      </c>
      <c r="D26">
        <v>111</v>
      </c>
    </row>
    <row r="27" spans="1:4" x14ac:dyDescent="0.25">
      <c r="A27" s="4" t="s">
        <v>41</v>
      </c>
      <c r="B27">
        <v>519</v>
      </c>
      <c r="C27">
        <v>481</v>
      </c>
      <c r="D27">
        <v>1000</v>
      </c>
    </row>
    <row r="36" spans="1:4" x14ac:dyDescent="0.25">
      <c r="A36" s="3" t="s">
        <v>47</v>
      </c>
      <c r="B36" s="3" t="s">
        <v>43</v>
      </c>
    </row>
    <row r="37" spans="1:4" x14ac:dyDescent="0.25">
      <c r="A37" s="3" t="s">
        <v>40</v>
      </c>
      <c r="B37" t="s">
        <v>18</v>
      </c>
      <c r="C37" t="s">
        <v>15</v>
      </c>
      <c r="D37" t="s">
        <v>41</v>
      </c>
    </row>
    <row r="38" spans="1:4" x14ac:dyDescent="0.25">
      <c r="A38" s="4" t="s">
        <v>46</v>
      </c>
      <c r="B38">
        <v>71</v>
      </c>
      <c r="C38">
        <v>39</v>
      </c>
      <c r="D38">
        <v>110</v>
      </c>
    </row>
    <row r="39" spans="1:4" x14ac:dyDescent="0.25">
      <c r="A39" s="4" t="s">
        <v>44</v>
      </c>
      <c r="B39">
        <v>318</v>
      </c>
      <c r="C39">
        <v>383</v>
      </c>
      <c r="D39">
        <v>701</v>
      </c>
    </row>
    <row r="40" spans="1:4" x14ac:dyDescent="0.25">
      <c r="A40" s="4" t="s">
        <v>45</v>
      </c>
      <c r="B40">
        <v>130</v>
      </c>
      <c r="C40">
        <v>59</v>
      </c>
      <c r="D40">
        <v>189</v>
      </c>
    </row>
    <row r="41" spans="1:4" x14ac:dyDescent="0.25">
      <c r="A41" s="4" t="s">
        <v>41</v>
      </c>
      <c r="B41">
        <v>519</v>
      </c>
      <c r="C41">
        <v>481</v>
      </c>
      <c r="D4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7FB0-E533-4BEE-815D-4BA1BCE3D185}">
  <dimension ref="A1:N8"/>
  <sheetViews>
    <sheetView showGridLines="0" topLeftCell="C1" zoomScale="84" zoomScaleNormal="84" workbookViewId="0">
      <selection activeCell="T31" sqref="T31"/>
    </sheetView>
  </sheetViews>
  <sheetFormatPr defaultColWidth="11.85546875" defaultRowHeight="15" x14ac:dyDescent="0.25"/>
  <sheetData>
    <row r="1" spans="1:14" ht="15" customHeight="1" x14ac:dyDescent="0.25">
      <c r="A1" s="9" t="s">
        <v>61</v>
      </c>
      <c r="B1" s="10"/>
      <c r="C1" s="10"/>
      <c r="D1" s="10"/>
      <c r="E1" s="10"/>
      <c r="F1" s="10"/>
      <c r="G1" s="10"/>
      <c r="H1" s="10"/>
      <c r="I1" s="10"/>
      <c r="J1" s="10"/>
      <c r="K1" s="10"/>
      <c r="L1" s="10"/>
      <c r="M1" s="10"/>
      <c r="N1" s="10"/>
    </row>
    <row r="2" spans="1:14" x14ac:dyDescent="0.25">
      <c r="A2" s="10"/>
      <c r="B2" s="10"/>
      <c r="C2" s="10"/>
      <c r="D2" s="10"/>
      <c r="E2" s="10"/>
      <c r="F2" s="10"/>
      <c r="G2" s="10"/>
      <c r="H2" s="10"/>
      <c r="I2" s="10"/>
      <c r="J2" s="10"/>
      <c r="K2" s="10"/>
      <c r="L2" s="10"/>
      <c r="M2" s="10"/>
      <c r="N2" s="10"/>
    </row>
    <row r="3" spans="1:14" x14ac:dyDescent="0.25">
      <c r="A3" s="10"/>
      <c r="B3" s="10"/>
      <c r="C3" s="10"/>
      <c r="D3" s="10"/>
      <c r="E3" s="10"/>
      <c r="F3" s="10"/>
      <c r="G3" s="10"/>
      <c r="H3" s="10"/>
      <c r="I3" s="10"/>
      <c r="J3" s="10"/>
      <c r="K3" s="10"/>
      <c r="L3" s="10"/>
      <c r="M3" s="10"/>
      <c r="N3" s="10"/>
    </row>
    <row r="4" spans="1:14" x14ac:dyDescent="0.25">
      <c r="A4" s="10"/>
      <c r="B4" s="10"/>
      <c r="C4" s="10"/>
      <c r="D4" s="10"/>
      <c r="E4" s="10"/>
      <c r="F4" s="10"/>
      <c r="G4" s="10"/>
      <c r="H4" s="10"/>
      <c r="I4" s="10"/>
      <c r="J4" s="10"/>
      <c r="K4" s="10"/>
      <c r="L4" s="10"/>
      <c r="M4" s="10"/>
      <c r="N4" s="10"/>
    </row>
    <row r="5" spans="1:14" x14ac:dyDescent="0.25">
      <c r="A5" s="10"/>
      <c r="B5" s="10"/>
      <c r="C5" s="10"/>
      <c r="D5" s="10"/>
      <c r="E5" s="10"/>
      <c r="F5" s="10"/>
      <c r="G5" s="10"/>
      <c r="H5" s="10"/>
      <c r="I5" s="10"/>
      <c r="J5" s="10"/>
      <c r="K5" s="10"/>
      <c r="L5" s="10"/>
      <c r="M5" s="10"/>
      <c r="N5" s="10"/>
    </row>
    <row r="6" spans="1:14" x14ac:dyDescent="0.25">
      <c r="A6" s="10"/>
      <c r="B6" s="10"/>
      <c r="C6" s="10"/>
      <c r="D6" s="10"/>
      <c r="E6" s="10"/>
      <c r="F6" s="10"/>
      <c r="G6" s="10"/>
      <c r="H6" s="10"/>
      <c r="I6" s="10"/>
      <c r="J6" s="10"/>
      <c r="K6" s="10"/>
      <c r="L6" s="10"/>
      <c r="M6" s="10"/>
      <c r="N6" s="10"/>
    </row>
    <row r="7" spans="1:14" x14ac:dyDescent="0.25">
      <c r="A7" s="10"/>
      <c r="B7" s="10"/>
      <c r="C7" s="10"/>
      <c r="D7" s="10"/>
      <c r="E7" s="10"/>
      <c r="F7" s="10"/>
      <c r="G7" s="10"/>
      <c r="H7" s="10"/>
      <c r="I7" s="10"/>
      <c r="J7" s="10"/>
      <c r="K7" s="10"/>
      <c r="L7" s="10"/>
      <c r="M7" s="10"/>
      <c r="N7" s="10"/>
    </row>
    <row r="8" spans="1:14" x14ac:dyDescent="0.25">
      <c r="A8" s="10"/>
      <c r="B8" s="10"/>
      <c r="C8" s="10"/>
      <c r="D8" s="10"/>
      <c r="E8" s="10"/>
      <c r="F8" s="10"/>
      <c r="G8" s="10"/>
      <c r="H8" s="10"/>
      <c r="I8" s="10"/>
      <c r="J8" s="10"/>
      <c r="K8" s="10"/>
      <c r="L8" s="10"/>
      <c r="M8" s="10"/>
      <c r="N8" s="10"/>
    </row>
  </sheetData>
  <mergeCells count="1">
    <mergeCell ref="A1:N8"/>
  </mergeCells>
  <pageMargins left="0.7" right="0.7" top="0.75" bottom="0.75" header="0.3" footer="0.3"/>
  <pageSetup orientation="portrait" r:id="rId1"/>
  <drawing r:id="rId2"/>
  <webPublishItems count="1">
    <webPublishItem id="7619" divId="First Portfolio Project (Excel - Bike Purchases)_7619" sourceType="sheet" destinationFile="C:\Users\daile\Downloads\First Portfolio Project (Excel - Bike Purchases).htm"/>
  </webPublishItems>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C769-C43F-4295-8CB8-BB056EF2780A}">
  <dimension ref="BO3:BQ13"/>
  <sheetViews>
    <sheetView tabSelected="1" topLeftCell="BN1" workbookViewId="0">
      <selection activeCell="BQ16" sqref="BQ16"/>
    </sheetView>
  </sheetViews>
  <sheetFormatPr defaultRowHeight="15" x14ac:dyDescent="0.25"/>
  <sheetData>
    <row r="3" spans="67:69" x14ac:dyDescent="0.25">
      <c r="BO3" s="11">
        <v>1</v>
      </c>
      <c r="BP3" s="11" t="s">
        <v>63</v>
      </c>
      <c r="BQ3" s="11"/>
    </row>
    <row r="4" spans="67:69" x14ac:dyDescent="0.25">
      <c r="BO4" s="11">
        <v>2</v>
      </c>
      <c r="BP4" s="11" t="s">
        <v>64</v>
      </c>
      <c r="BQ4" s="11"/>
    </row>
    <row r="5" spans="67:69" x14ac:dyDescent="0.25">
      <c r="BO5" s="11">
        <v>3</v>
      </c>
      <c r="BP5" s="11" t="s">
        <v>65</v>
      </c>
      <c r="BQ5" s="11"/>
    </row>
    <row r="6" spans="67:69" x14ac:dyDescent="0.25">
      <c r="BO6" s="11">
        <v>4</v>
      </c>
      <c r="BP6" s="11" t="s">
        <v>67</v>
      </c>
      <c r="BQ6" s="11"/>
    </row>
    <row r="7" spans="67:69" x14ac:dyDescent="0.25">
      <c r="BO7" s="11">
        <v>5</v>
      </c>
      <c r="BP7" s="11" t="s">
        <v>66</v>
      </c>
      <c r="BQ7" s="11"/>
    </row>
    <row r="8" spans="67:69" x14ac:dyDescent="0.25">
      <c r="BO8" s="11">
        <v>6</v>
      </c>
      <c r="BP8" s="11" t="s">
        <v>68</v>
      </c>
      <c r="BQ8" s="11"/>
    </row>
    <row r="9" spans="67:69" x14ac:dyDescent="0.25">
      <c r="BO9" s="11">
        <v>7</v>
      </c>
      <c r="BP9" s="11" t="s">
        <v>69</v>
      </c>
      <c r="BQ9" s="11"/>
    </row>
    <row r="10" spans="67:69" x14ac:dyDescent="0.25">
      <c r="BO10" s="11">
        <v>8</v>
      </c>
      <c r="BP10" s="11" t="s">
        <v>70</v>
      </c>
      <c r="BQ10" s="11"/>
    </row>
    <row r="11" spans="67:69" x14ac:dyDescent="0.25">
      <c r="BO11" s="11"/>
      <c r="BP11" s="12" t="s">
        <v>62</v>
      </c>
      <c r="BQ11" s="11" t="s">
        <v>71</v>
      </c>
    </row>
    <row r="12" spans="67:69" x14ac:dyDescent="0.25">
      <c r="BO12" s="11"/>
      <c r="BP12" s="12" t="s">
        <v>62</v>
      </c>
      <c r="BQ12" s="11" t="s">
        <v>72</v>
      </c>
    </row>
    <row r="13" spans="67:69" x14ac:dyDescent="0.25">
      <c r="BO13" s="11"/>
      <c r="BP13" s="12" t="s">
        <v>62</v>
      </c>
      <c r="BQ13" s="1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bike_buyers_raw</vt:lpstr>
      <vt:lpstr>My sheet</vt:lpstr>
      <vt:lpstr>Pivots</vt:lpstr>
      <vt:lpstr>Dashboard</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Keiper</dc:creator>
  <cp:lastModifiedBy>Adebayo Adewale</cp:lastModifiedBy>
  <cp:lastPrinted>2022-10-07T22:02:24Z</cp:lastPrinted>
  <dcterms:created xsi:type="dcterms:W3CDTF">2022-03-18T02:50:57Z</dcterms:created>
  <dcterms:modified xsi:type="dcterms:W3CDTF">2026-01-29T10:15:34Z</dcterms:modified>
</cp:coreProperties>
</file>